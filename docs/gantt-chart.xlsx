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neopixel-led-cube\docs\"/>
    </mc:Choice>
  </mc:AlternateContent>
  <xr:revisionPtr revIDLastSave="0" documentId="8_{DCAB7FC3-3F6D-4042-8A49-AF4CE632FCF8}" xr6:coauthVersionLast="47" xr6:coauthVersionMax="47" xr10:uidLastSave="{00000000-0000-0000-0000-000000000000}"/>
  <bookViews>
    <workbookView xWindow="-120" yWindow="-120" windowWidth="38640" windowHeight="21120" xr2:uid="{00000000-000D-0000-FFFF-FFFF00000000}"/>
  </bookViews>
  <sheets>
    <sheet name="ProjectSchedule" sheetId="11" r:id="rId1"/>
    <sheet name="About" sheetId="12" r:id="rId2"/>
  </sheets>
  <definedNames>
    <definedName name="_xlnm.Print_Area" localSheetId="0">ProjectSchedule!$1:$34</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2" l="1"/>
  <c r="J1" i="11"/>
  <c r="H34" i="11" l="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<sst xmlns="http://schemas.openxmlformats.org/spreadsheetml/2006/main" count="52" uniqueCount="49">
  <si>
    <t>4x4x4 NeoPixel Cube</t>
  </si>
  <si>
    <t>4x4x4 Neo Pixel Cube</t>
  </si>
  <si>
    <t>Project Start:</t>
  </si>
  <si>
    <t>Today:</t>
  </si>
  <si>
    <t>Display Week:</t>
  </si>
  <si>
    <t>TASK</t>
  </si>
  <si>
    <t>ASSIGNED
TO</t>
  </si>
  <si>
    <t>PROGRESS</t>
  </si>
  <si>
    <t>START</t>
  </si>
  <si>
    <t>END</t>
  </si>
  <si>
    <t>DAYS</t>
  </si>
  <si>
    <t>Research and planning</t>
  </si>
  <si>
    <t>Reasearch product requirements</t>
  </si>
  <si>
    <t>Analyse product requirements</t>
  </si>
  <si>
    <t>Initial product proposal</t>
  </si>
  <si>
    <t>Identify key components</t>
  </si>
  <si>
    <t>Roles and responsibilities</t>
  </si>
  <si>
    <t>Initial design</t>
  </si>
  <si>
    <t>Create top-level diagram</t>
  </si>
  <si>
    <t>Key function flowcharts</t>
  </si>
  <si>
    <t>Wiring diagram</t>
  </si>
  <si>
    <t>CAD designed base and panels</t>
  </si>
  <si>
    <t>Software and Hardware Development</t>
  </si>
  <si>
    <t>Assembling hardware</t>
  </si>
  <si>
    <t>Writing code</t>
  </si>
  <si>
    <t>Hardware table</t>
  </si>
  <si>
    <t>Final Testing and Debugging</t>
  </si>
  <si>
    <t>Intial Functional Test</t>
  </si>
  <si>
    <t>Final Assembly &amp; Enclosure Design</t>
  </si>
  <si>
    <t>Final analysis</t>
  </si>
  <si>
    <t>Final Presentation</t>
  </si>
  <si>
    <t>Prepare Presentation Materials</t>
  </si>
  <si>
    <t>Practice Presentation</t>
  </si>
  <si>
    <t>Conduct Stakeholder Presentation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</si>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</sst>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0" fontId="29" fillId="0" borderId="0" xfId="1" applyFont="1" applyAlignment="1" applyProtection="1">
      <alignment horizontal="left" vertical="center"/>
    </xf>
    <xf numFmtId="14" fontId="0" fillId="0" borderId="11" xfId="0" applyNumberFormat="1" applyBorder="1" applyAlignment="1">
      <alignment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8"/>
  <sheetViews>
    <sheetView showGridLines="0" tabSelected="1" showRuler="0" zoomScaleNormal="100" zoomScalePageLayoutView="70" workbookViewId="0">
      <pane ySplit="6" topLeftCell="A7" activePane="bottomLeft" state="frozen"/>
      <selection pane="bottomLeft" activeCell="D26" sqref="D26"/>
    </sheetView>
  </sheetViews>
  <sheetFormatPr defaultRowHeight="15" x14ac:dyDescent="0.25"/>
  <cols>
    <col min="1" max="1" width="2.7109375" customWidth="1"/>
    <col min="2" max="2" width="11.28515625" customWidth="1"/>
    <col min="3" max="3" width="26.28515625" customWidth="1"/>
    <col min="4" max="4" width="10.7109375" customWidth="1"/>
    <col min="5" max="5" width="10.42578125" style="5" customWidth="1"/>
    <col min="6" max="6" width="10.42578125" customWidth="1"/>
    <col min="7" max="7" width="2.7109375" customWidth="1"/>
    <col min="8" max="8" width="6.28515625" hidden="1" customWidth="1"/>
    <col min="9" max="64" width="2.5703125" customWidth="1"/>
    <col min="69" max="70" width="10.28515625"/>
  </cols>
  <sheetData>
    <row r="1" spans="1:64" ht="28.5" x14ac:dyDescent="0.45">
      <c r="B1" s="16" t="s">
        <v>0</v>
      </c>
      <c r="C1" s="1"/>
      <c r="D1" s="2"/>
      <c r="E1" s="4"/>
      <c r="F1" s="96"/>
      <c r="G1" t="s">
        <v>1</v>
      </c>
      <c r="H1" s="2"/>
      <c r="I1" s="8"/>
      <c r="J1" s="101" t="str">
        <f>HYPERLINK("https://vertex42.link/HowToMakeAGanttChart","► Watch How to Make a Gantt Chart in Excel")</f>
        <v>► Watch How to Make a Gantt Chart in Excel</v>
      </c>
      <c r="K1" s="101"/>
      <c r="L1" s="101"/>
      <c r="M1" s="101"/>
      <c r="N1" s="101"/>
      <c r="O1" s="101"/>
      <c r="P1" s="101"/>
      <c r="Q1" s="101"/>
      <c r="R1" s="101"/>
      <c r="S1" s="101"/>
      <c r="T1" s="101"/>
      <c r="U1" s="101"/>
      <c r="V1" s="101"/>
      <c r="W1" s="101"/>
      <c r="X1" s="101"/>
      <c r="Y1" s="101"/>
      <c r="Z1" s="101"/>
      <c r="AA1" s="101"/>
    </row>
    <row r="2" spans="1:64" ht="19.5" customHeight="1" x14ac:dyDescent="0.3">
      <c r="B2" s="9"/>
      <c r="D2" s="6" t="s">
        <v>2</v>
      </c>
      <c r="E2" s="106">
        <v>45681</v>
      </c>
      <c r="F2" s="107"/>
    </row>
    <row r="3" spans="1:64" ht="19.5" customHeight="1" x14ac:dyDescent="0.3">
      <c r="B3" s="9"/>
      <c r="D3" s="6" t="s">
        <v>3</v>
      </c>
      <c r="E3" s="106">
        <v>45688</v>
      </c>
      <c r="F3" s="107"/>
    </row>
    <row r="4" spans="1:64" ht="19.5" customHeight="1" x14ac:dyDescent="0.25">
      <c r="D4" s="6" t="s">
        <v>4</v>
      </c>
      <c r="E4" s="7">
        <v>1</v>
      </c>
      <c r="I4" s="103">
        <f>I5</f>
        <v>45677</v>
      </c>
      <c r="J4" s="104"/>
      <c r="K4" s="104"/>
      <c r="L4" s="104"/>
      <c r="M4" s="104"/>
      <c r="N4" s="104"/>
      <c r="O4" s="105"/>
      <c r="P4" s="103">
        <f>P5</f>
        <v>45684</v>
      </c>
      <c r="Q4" s="104"/>
      <c r="R4" s="104"/>
      <c r="S4" s="104"/>
      <c r="T4" s="104"/>
      <c r="U4" s="104"/>
      <c r="V4" s="105"/>
      <c r="W4" s="103">
        <f>W5</f>
        <v>45691</v>
      </c>
      <c r="X4" s="104"/>
      <c r="Y4" s="104"/>
      <c r="Z4" s="104"/>
      <c r="AA4" s="104"/>
      <c r="AB4" s="104"/>
      <c r="AC4" s="105"/>
      <c r="AD4" s="103">
        <f>AD5</f>
        <v>45698</v>
      </c>
      <c r="AE4" s="104"/>
      <c r="AF4" s="104"/>
      <c r="AG4" s="104"/>
      <c r="AH4" s="104"/>
      <c r="AI4" s="104"/>
      <c r="AJ4" s="105"/>
      <c r="AK4" s="103">
        <f>AK5</f>
        <v>45705</v>
      </c>
      <c r="AL4" s="104"/>
      <c r="AM4" s="104"/>
      <c r="AN4" s="104"/>
      <c r="AO4" s="104"/>
      <c r="AP4" s="104"/>
      <c r="AQ4" s="105"/>
      <c r="AR4" s="103">
        <f>AR5</f>
        <v>45712</v>
      </c>
      <c r="AS4" s="104"/>
      <c r="AT4" s="104"/>
      <c r="AU4" s="104"/>
      <c r="AV4" s="104"/>
      <c r="AW4" s="104"/>
      <c r="AX4" s="105"/>
      <c r="AY4" s="103">
        <f>AY5</f>
        <v>45719</v>
      </c>
      <c r="AZ4" s="104"/>
      <c r="BA4" s="104"/>
      <c r="BB4" s="104"/>
      <c r="BC4" s="104"/>
      <c r="BD4" s="104"/>
      <c r="BE4" s="105"/>
      <c r="BF4" s="103">
        <f>BF5</f>
        <v>45726</v>
      </c>
      <c r="BG4" s="104"/>
      <c r="BH4" s="104"/>
      <c r="BI4" s="104"/>
      <c r="BJ4" s="104"/>
      <c r="BK4" s="104"/>
      <c r="BL4" s="105"/>
    </row>
    <row r="5" spans="1:64" x14ac:dyDescent="0.25">
      <c r="A5" s="6"/>
      <c r="G5" s="6"/>
      <c r="I5" s="13">
        <f>E2-WEEKDAY(E2,1)+2+7*(E4-1)</f>
        <v>45677</v>
      </c>
      <c r="J5" s="12">
        <f>I5+1</f>
        <v>45678</v>
      </c>
      <c r="K5" s="12">
        <f t="shared" ref="K5:AX5" si="0">J5+1</f>
        <v>45679</v>
      </c>
      <c r="L5" s="12">
        <f t="shared" si="0"/>
        <v>45680</v>
      </c>
      <c r="M5" s="12">
        <f t="shared" si="0"/>
        <v>45681</v>
      </c>
      <c r="N5" s="12">
        <f t="shared" si="0"/>
        <v>45682</v>
      </c>
      <c r="O5" s="14">
        <f t="shared" si="0"/>
        <v>45683</v>
      </c>
      <c r="P5" s="13">
        <f>O5+1</f>
        <v>45684</v>
      </c>
      <c r="Q5" s="12">
        <f>P5+1</f>
        <v>45685</v>
      </c>
      <c r="R5" s="12">
        <f t="shared" si="0"/>
        <v>45686</v>
      </c>
      <c r="S5" s="12">
        <f t="shared" si="0"/>
        <v>45687</v>
      </c>
      <c r="T5" s="12">
        <f t="shared" si="0"/>
        <v>45688</v>
      </c>
      <c r="U5" s="12">
        <f t="shared" si="0"/>
        <v>45689</v>
      </c>
      <c r="V5" s="14">
        <f t="shared" si="0"/>
        <v>45690</v>
      </c>
      <c r="W5" s="13">
        <f>V5+1</f>
        <v>45691</v>
      </c>
      <c r="X5" s="12">
        <f>W5+1</f>
        <v>45692</v>
      </c>
      <c r="Y5" s="12">
        <f t="shared" si="0"/>
        <v>45693</v>
      </c>
      <c r="Z5" s="12">
        <f t="shared" si="0"/>
        <v>45694</v>
      </c>
      <c r="AA5" s="12">
        <f t="shared" si="0"/>
        <v>45695</v>
      </c>
      <c r="AB5" s="12">
        <f t="shared" si="0"/>
        <v>45696</v>
      </c>
      <c r="AC5" s="14">
        <f t="shared" si="0"/>
        <v>45697</v>
      </c>
      <c r="AD5" s="13">
        <f>AC5+1</f>
        <v>45698</v>
      </c>
      <c r="AE5" s="12">
        <f>AD5+1</f>
        <v>45699</v>
      </c>
      <c r="AF5" s="12">
        <f t="shared" si="0"/>
        <v>45700</v>
      </c>
      <c r="AG5" s="12">
        <f t="shared" si="0"/>
        <v>45701</v>
      </c>
      <c r="AH5" s="12">
        <f t="shared" si="0"/>
        <v>45702</v>
      </c>
      <c r="AI5" s="12">
        <f t="shared" si="0"/>
        <v>45703</v>
      </c>
      <c r="AJ5" s="14">
        <f t="shared" si="0"/>
        <v>45704</v>
      </c>
      <c r="AK5" s="13">
        <f>AJ5+1</f>
        <v>45705</v>
      </c>
      <c r="AL5" s="12">
        <f>AK5+1</f>
        <v>45706</v>
      </c>
      <c r="AM5" s="12">
        <f t="shared" si="0"/>
        <v>45707</v>
      </c>
      <c r="AN5" s="12">
        <f t="shared" si="0"/>
        <v>45708</v>
      </c>
      <c r="AO5" s="12">
        <f t="shared" si="0"/>
        <v>45709</v>
      </c>
      <c r="AP5" s="12">
        <f t="shared" si="0"/>
        <v>45710</v>
      </c>
      <c r="AQ5" s="14">
        <f t="shared" si="0"/>
        <v>45711</v>
      </c>
      <c r="AR5" s="13">
        <f>AQ5+1</f>
        <v>45712</v>
      </c>
      <c r="AS5" s="12">
        <f>AR5+1</f>
        <v>45713</v>
      </c>
      <c r="AT5" s="12">
        <f t="shared" si="0"/>
        <v>45714</v>
      </c>
      <c r="AU5" s="12">
        <f t="shared" si="0"/>
        <v>45715</v>
      </c>
      <c r="AV5" s="12">
        <f t="shared" si="0"/>
        <v>45716</v>
      </c>
      <c r="AW5" s="12">
        <f t="shared" si="0"/>
        <v>45717</v>
      </c>
      <c r="AX5" s="14">
        <f t="shared" si="0"/>
        <v>45718</v>
      </c>
      <c r="AY5" s="13">
        <f>AX5+1</f>
        <v>45719</v>
      </c>
      <c r="AZ5" s="12">
        <f>AY5+1</f>
        <v>45720</v>
      </c>
      <c r="BA5" s="12">
        <f t="shared" ref="BA5:BE5" si="1">AZ5+1</f>
        <v>45721</v>
      </c>
      <c r="BB5" s="12">
        <f t="shared" si="1"/>
        <v>45722</v>
      </c>
      <c r="BC5" s="12">
        <f t="shared" si="1"/>
        <v>45723</v>
      </c>
      <c r="BD5" s="12">
        <f t="shared" si="1"/>
        <v>45724</v>
      </c>
      <c r="BE5" s="14">
        <f t="shared" si="1"/>
        <v>45725</v>
      </c>
      <c r="BF5" s="13">
        <f>BE5+1</f>
        <v>45726</v>
      </c>
      <c r="BG5" s="12">
        <f>BF5+1</f>
        <v>45727</v>
      </c>
      <c r="BH5" s="12">
        <f t="shared" ref="BH5:BL5" si="2">BG5+1</f>
        <v>45728</v>
      </c>
      <c r="BI5" s="12">
        <f t="shared" si="2"/>
        <v>45729</v>
      </c>
      <c r="BJ5" s="12">
        <f t="shared" si="2"/>
        <v>45730</v>
      </c>
      <c r="BK5" s="12">
        <f t="shared" si="2"/>
        <v>45731</v>
      </c>
      <c r="BL5" s="14">
        <f t="shared" si="2"/>
        <v>45732</v>
      </c>
    </row>
    <row r="6" spans="1:64" ht="29.25" customHeight="1" thickBot="1" x14ac:dyDescent="0.3">
      <c r="A6" s="19"/>
      <c r="B6" s="10" t="s">
        <v>5</v>
      </c>
      <c r="C6" s="11" t="s">
        <v>6</v>
      </c>
      <c r="D6" s="11" t="s">
        <v>7</v>
      </c>
      <c r="E6" s="11" t="s">
        <v>8</v>
      </c>
      <c r="F6" s="11" t="s">
        <v>9</v>
      </c>
      <c r="G6" s="11"/>
      <c r="H6" s="11" t="s">
        <v>10</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75" thickBot="1" x14ac:dyDescent="0.3">
      <c r="A7" s="19"/>
      <c r="B7" s="20"/>
      <c r="C7" s="21"/>
      <c r="D7" s="22"/>
      <c r="E7" s="23"/>
      <c r="F7" s="24"/>
      <c r="G7" s="25"/>
      <c r="H7" s="25" t="str">
        <f t="shared" ref="H7:H34" si="6">IF(OR(ISBLANK(task_start),ISBLANK(task_end)),"",task_end-task_start+1)</f>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75" thickBot="1" x14ac:dyDescent="0.3">
      <c r="A8" s="19"/>
      <c r="B8" s="26" t="s">
        <v>11</v>
      </c>
      <c r="C8" s="27"/>
      <c r="D8" s="28"/>
      <c r="E8" s="29"/>
      <c r="F8" s="30"/>
      <c r="G8" s="25"/>
      <c r="H8" s="25" t="str">
        <f t="shared" si="6"/>
        <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75" thickBot="1" x14ac:dyDescent="0.3">
      <c r="A9" s="19"/>
      <c r="B9" s="31" t="s">
        <v>12</v>
      </c>
      <c r="C9" s="32"/>
      <c r="D9" s="33">
        <v>1</v>
      </c>
      <c r="E9" s="34">
        <v>45681</v>
      </c>
      <c r="F9" s="35">
        <v>45683</v>
      </c>
      <c r="G9" s="25"/>
      <c r="H9" s="25">
        <f t="shared" si="6"/>
        <v>3</v>
      </c>
      <c r="I9" s="82"/>
      <c r="J9" s="82"/>
      <c r="K9" s="82"/>
      <c r="L9" s="82"/>
      <c r="M9" s="82"/>
      <c r="N9" s="82"/>
      <c r="O9" s="82"/>
      <c r="P9" s="82"/>
      <c r="Q9" s="82"/>
      <c r="R9" s="82"/>
      <c r="S9" s="82"/>
      <c r="T9" s="82"/>
      <c r="U9" s="82"/>
      <c r="V9" s="82"/>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75" thickBot="1" x14ac:dyDescent="0.3">
      <c r="A10" s="19"/>
      <c r="B10" s="31" t="s">
        <v>13</v>
      </c>
      <c r="C10" s="32"/>
      <c r="D10" s="33">
        <v>1</v>
      </c>
      <c r="E10" s="34">
        <v>45683</v>
      </c>
      <c r="F10" s="35">
        <v>45684</v>
      </c>
      <c r="G10" s="25"/>
      <c r="H10" s="25">
        <f t="shared" si="6"/>
        <v>2</v>
      </c>
      <c r="I10" s="82"/>
      <c r="J10" s="82"/>
      <c r="K10" s="82"/>
      <c r="L10" s="82"/>
      <c r="M10" s="82"/>
      <c r="N10" s="82"/>
      <c r="O10" s="82"/>
      <c r="P10" s="82"/>
      <c r="Q10" s="82"/>
      <c r="R10" s="82"/>
      <c r="S10" s="82"/>
      <c r="T10" s="82"/>
      <c r="U10" s="83"/>
      <c r="V10" s="83"/>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75" thickBot="1" x14ac:dyDescent="0.3">
      <c r="A11" s="19"/>
      <c r="B11" s="31" t="s">
        <v>14</v>
      </c>
      <c r="C11" s="32"/>
      <c r="D11" s="33">
        <v>1</v>
      </c>
      <c r="E11" s="34">
        <v>45684</v>
      </c>
      <c r="F11" s="35">
        <v>45685</v>
      </c>
      <c r="G11" s="25"/>
      <c r="H11" s="25">
        <f t="shared" si="6"/>
        <v>2</v>
      </c>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75" thickBot="1" x14ac:dyDescent="0.3">
      <c r="A12" s="19"/>
      <c r="B12" s="31" t="s">
        <v>15</v>
      </c>
      <c r="C12" s="32"/>
      <c r="D12" s="33">
        <v>1</v>
      </c>
      <c r="E12" s="34">
        <v>45686</v>
      </c>
      <c r="F12" s="35">
        <v>45687</v>
      </c>
      <c r="G12" s="25"/>
      <c r="H12" s="25">
        <f t="shared" si="6"/>
        <v>2</v>
      </c>
      <c r="I12" s="82"/>
      <c r="J12" s="82"/>
      <c r="K12" s="82"/>
      <c r="L12" s="82"/>
      <c r="M12" s="82"/>
      <c r="N12" s="82"/>
      <c r="O12" s="82"/>
      <c r="P12" s="82"/>
      <c r="Q12" s="82"/>
      <c r="R12" s="82"/>
      <c r="S12" s="82"/>
      <c r="T12" s="82"/>
      <c r="U12" s="82"/>
      <c r="V12" s="82"/>
      <c r="W12" s="82"/>
      <c r="X12" s="82"/>
      <c r="Y12" s="83"/>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75" thickBot="1" x14ac:dyDescent="0.3">
      <c r="A13" s="19"/>
      <c r="B13" s="31" t="s">
        <v>16</v>
      </c>
      <c r="C13" s="32"/>
      <c r="D13" s="33">
        <v>1</v>
      </c>
      <c r="E13" s="34">
        <v>45687</v>
      </c>
      <c r="F13" s="35">
        <v>45688</v>
      </c>
      <c r="G13" s="25"/>
      <c r="H13" s="25">
        <f t="shared" si="6"/>
        <v>2</v>
      </c>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75" thickBot="1" x14ac:dyDescent="0.3">
      <c r="A14" s="19"/>
      <c r="B14" s="36" t="s">
        <v>17</v>
      </c>
      <c r="C14" s="37"/>
      <c r="D14" s="38"/>
      <c r="E14" s="39"/>
      <c r="F14" s="40"/>
      <c r="G14" s="25"/>
      <c r="H14" s="25" t="str">
        <f t="shared" si="6"/>
        <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75" thickBot="1" x14ac:dyDescent="0.3">
      <c r="A15" s="19"/>
      <c r="B15" s="41" t="s">
        <v>18</v>
      </c>
      <c r="C15" s="42"/>
      <c r="D15" s="43">
        <v>1</v>
      </c>
      <c r="E15" s="44">
        <v>45689</v>
      </c>
      <c r="F15" s="45">
        <v>45690</v>
      </c>
      <c r="G15" s="25"/>
      <c r="H15" s="25">
        <f t="shared" si="6"/>
        <v>2</v>
      </c>
      <c r="I15" s="82"/>
      <c r="J15" s="82"/>
      <c r="K15" s="82"/>
      <c r="L15" s="82"/>
      <c r="M15" s="82"/>
      <c r="N15" s="82"/>
      <c r="O15" s="82"/>
      <c r="P15" s="82"/>
      <c r="Q15" s="82"/>
      <c r="R15" s="82"/>
      <c r="S15" s="82"/>
      <c r="T15" s="82"/>
      <c r="U15" s="82"/>
      <c r="V15" s="82"/>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75" thickBot="1" x14ac:dyDescent="0.3">
      <c r="A16" s="19"/>
      <c r="B16" s="41" t="s">
        <v>19</v>
      </c>
      <c r="C16" s="42"/>
      <c r="D16" s="43">
        <v>1</v>
      </c>
      <c r="E16" s="44">
        <v>45690</v>
      </c>
      <c r="F16" s="45">
        <v>45691</v>
      </c>
      <c r="G16" s="25"/>
      <c r="H16" s="25">
        <f t="shared" si="6"/>
        <v>2</v>
      </c>
      <c r="I16" s="82"/>
      <c r="J16" s="82"/>
      <c r="K16" s="82"/>
      <c r="L16" s="82"/>
      <c r="M16" s="82"/>
      <c r="N16" s="82"/>
      <c r="O16" s="82"/>
      <c r="P16" s="82"/>
      <c r="Q16" s="82"/>
      <c r="R16" s="82"/>
      <c r="S16" s="82"/>
      <c r="T16" s="82"/>
      <c r="U16" s="83"/>
      <c r="V16" s="83"/>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75" thickBot="1" x14ac:dyDescent="0.3">
      <c r="A17" s="19"/>
      <c r="B17" s="41" t="s">
        <v>20</v>
      </c>
      <c r="C17" s="42"/>
      <c r="D17" s="43">
        <v>1</v>
      </c>
      <c r="E17" s="44">
        <v>45691</v>
      </c>
      <c r="F17" s="45">
        <v>45694</v>
      </c>
      <c r="G17" s="25"/>
      <c r="H17" s="25">
        <f t="shared" si="6"/>
        <v>4</v>
      </c>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75" thickBot="1" x14ac:dyDescent="0.3">
      <c r="A18" s="19"/>
      <c r="B18" s="41" t="s">
        <v>21</v>
      </c>
      <c r="C18" s="42"/>
      <c r="D18" s="43">
        <v>1</v>
      </c>
      <c r="E18" s="44">
        <v>45694</v>
      </c>
      <c r="F18" s="45">
        <v>45700</v>
      </c>
      <c r="G18" s="25"/>
      <c r="H18" s="25">
        <f t="shared" si="6"/>
        <v>7</v>
      </c>
      <c r="I18" s="82"/>
      <c r="J18" s="82"/>
      <c r="K18" s="82"/>
      <c r="L18" s="82"/>
      <c r="M18" s="102"/>
      <c r="N18" s="82"/>
      <c r="O18" s="82"/>
      <c r="P18" s="82"/>
      <c r="Q18" s="82"/>
      <c r="R18" s="82"/>
      <c r="S18" s="82"/>
      <c r="T18" s="82"/>
      <c r="U18" s="82"/>
      <c r="V18" s="82"/>
      <c r="W18" s="82"/>
      <c r="X18" s="82"/>
      <c r="Y18" s="83"/>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75" thickBot="1" x14ac:dyDescent="0.3">
      <c r="A19" s="19"/>
      <c r="B19" s="46" t="s">
        <v>22</v>
      </c>
      <c r="C19" s="47"/>
      <c r="D19" s="48"/>
      <c r="E19" s="49"/>
      <c r="F19" s="50"/>
      <c r="G19" s="25"/>
      <c r="H19" s="25" t="str">
        <f t="shared" si="6"/>
        <v/>
      </c>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75" thickBot="1" x14ac:dyDescent="0.3">
      <c r="A20" s="19"/>
      <c r="B20" s="51" t="s">
        <v>23</v>
      </c>
      <c r="C20" s="52"/>
      <c r="D20" s="53">
        <v>1</v>
      </c>
      <c r="E20" s="54">
        <v>45701</v>
      </c>
      <c r="F20" s="55">
        <v>45708</v>
      </c>
      <c r="G20" s="25"/>
      <c r="H20" s="25">
        <f t="shared" si="6"/>
        <v>8</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75" thickBot="1" x14ac:dyDescent="0.3">
      <c r="A21" s="19"/>
      <c r="B21" s="51" t="s">
        <v>24</v>
      </c>
      <c r="C21" s="52"/>
      <c r="D21" s="53">
        <v>1</v>
      </c>
      <c r="E21" s="54">
        <v>45709</v>
      </c>
      <c r="F21" s="55">
        <v>45716</v>
      </c>
      <c r="G21" s="25"/>
      <c r="H21" s="25">
        <f t="shared" si="6"/>
        <v>8</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75" thickBot="1" x14ac:dyDescent="0.3">
      <c r="A22" s="19"/>
      <c r="B22" s="51" t="s">
        <v>25</v>
      </c>
      <c r="C22" s="52"/>
      <c r="D22" s="53">
        <v>1</v>
      </c>
      <c r="E22" s="54">
        <v>45717</v>
      </c>
      <c r="F22" s="54">
        <v>45718</v>
      </c>
      <c r="G22" s="25"/>
      <c r="H22" s="25">
        <f t="shared" si="6"/>
        <v>2</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75" thickBot="1" x14ac:dyDescent="0.3">
      <c r="A23" s="19"/>
      <c r="B23" s="56" t="s">
        <v>26</v>
      </c>
      <c r="C23" s="57"/>
      <c r="D23" s="58"/>
      <c r="E23" s="59"/>
      <c r="F23" s="60"/>
      <c r="G23" s="25"/>
      <c r="H23" s="25" t="str">
        <f t="shared" si="6"/>
        <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75" thickBot="1" x14ac:dyDescent="0.3">
      <c r="A24" s="19"/>
      <c r="B24" s="61" t="s">
        <v>27</v>
      </c>
      <c r="C24" s="62"/>
      <c r="D24" s="63">
        <v>1</v>
      </c>
      <c r="E24" s="64">
        <v>45719</v>
      </c>
      <c r="F24" s="64">
        <v>45722</v>
      </c>
      <c r="G24" s="25"/>
      <c r="H24" s="25">
        <f t="shared" si="6"/>
        <v>4</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75" thickBot="1" x14ac:dyDescent="0.3">
      <c r="A25" s="19"/>
      <c r="B25" s="61" t="s">
        <v>28</v>
      </c>
      <c r="C25" s="62"/>
      <c r="D25" s="63">
        <v>1</v>
      </c>
      <c r="E25" s="64">
        <v>45723</v>
      </c>
      <c r="F25" s="65">
        <v>45724</v>
      </c>
      <c r="G25" s="25"/>
      <c r="H25" s="25">
        <f t="shared" si="6"/>
        <v>2</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75" thickBot="1" x14ac:dyDescent="0.3">
      <c r="A26" s="19"/>
      <c r="B26" s="61" t="s">
        <v>29</v>
      </c>
      <c r="C26" s="62"/>
      <c r="D26" s="63">
        <v>1</v>
      </c>
      <c r="E26" s="64">
        <v>45725</v>
      </c>
      <c r="F26" s="65">
        <v>45727</v>
      </c>
      <c r="G26" s="25"/>
      <c r="H26" s="25">
        <f t="shared" si="6"/>
        <v>3</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75" thickBot="1" x14ac:dyDescent="0.3">
      <c r="A27" s="19"/>
      <c r="B27" s="66" t="s">
        <v>30</v>
      </c>
      <c r="C27" s="67"/>
      <c r="D27" s="68"/>
      <c r="E27" s="69"/>
      <c r="F27" s="70"/>
      <c r="G27" s="25"/>
      <c r="H27" s="25" t="str">
        <f t="shared" si="6"/>
        <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75" thickBot="1" x14ac:dyDescent="0.3">
      <c r="A28" s="19"/>
      <c r="B28" s="71" t="s">
        <v>31</v>
      </c>
      <c r="C28" s="72"/>
      <c r="D28" s="73">
        <v>1</v>
      </c>
      <c r="E28" s="74">
        <v>45728</v>
      </c>
      <c r="F28" s="75">
        <v>45731</v>
      </c>
      <c r="G28" s="25"/>
      <c r="H28" s="25">
        <f t="shared" si="6"/>
        <v>4</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75" thickBot="1" x14ac:dyDescent="0.3">
      <c r="A29" s="19"/>
      <c r="B29" s="71" t="s">
        <v>32</v>
      </c>
      <c r="C29" s="72"/>
      <c r="D29" s="73">
        <v>1</v>
      </c>
      <c r="E29" s="74">
        <v>45732</v>
      </c>
      <c r="F29" s="75">
        <v>45736</v>
      </c>
      <c r="G29" s="25"/>
      <c r="H29" s="25">
        <f t="shared" si="6"/>
        <v>5</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75" thickBot="1" x14ac:dyDescent="0.3">
      <c r="A30" s="19"/>
      <c r="B30" s="71" t="s">
        <v>33</v>
      </c>
      <c r="C30" s="72"/>
      <c r="D30" s="73">
        <v>1</v>
      </c>
      <c r="E30" s="74">
        <v>45744</v>
      </c>
      <c r="F30" s="75">
        <v>45744</v>
      </c>
      <c r="G30" s="25"/>
      <c r="H30" s="25">
        <f t="shared" si="6"/>
        <v>1</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75" thickBot="1" x14ac:dyDescent="0.3">
      <c r="A31" s="19"/>
      <c r="B31" s="20"/>
      <c r="C31" s="21"/>
      <c r="D31" s="22"/>
      <c r="E31" s="23"/>
      <c r="F31" s="24"/>
      <c r="G31" s="25"/>
      <c r="H31" s="25" t="str">
        <f t="shared" si="6"/>
        <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75" thickBot="1" x14ac:dyDescent="0.3">
      <c r="A32" s="19"/>
      <c r="B32" s="20"/>
      <c r="C32" s="21"/>
      <c r="D32" s="22"/>
      <c r="E32" s="23"/>
      <c r="F32" s="24"/>
      <c r="G32" s="25"/>
      <c r="H32" s="25" t="str">
        <f t="shared" si="6"/>
        <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75" thickBot="1" x14ac:dyDescent="0.3">
      <c r="A33" s="19"/>
      <c r="B33" s="20"/>
      <c r="C33" s="21"/>
      <c r="D33" s="22"/>
      <c r="E33" s="23"/>
      <c r="F33" s="24"/>
      <c r="G33" s="25"/>
      <c r="H33" s="25" t="str">
        <f t="shared" si="6"/>
        <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75" thickBot="1" x14ac:dyDescent="0.3">
      <c r="A34" s="19"/>
      <c r="B34" s="76" t="s">
        <v>34</v>
      </c>
      <c r="C34" s="77"/>
      <c r="D34" s="78"/>
      <c r="E34" s="79"/>
      <c r="F34" s="80"/>
      <c r="G34" s="81"/>
      <c r="H34" s="81" t="str">
        <f t="shared" si="6"/>
        <v/>
      </c>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row>
    <row r="35" spans="1:64" x14ac:dyDescent="0.25">
      <c r="A35" s="6"/>
      <c r="G35" s="6"/>
    </row>
    <row r="36" spans="1:64" x14ac:dyDescent="0.25">
      <c r="B36" s="17" t="s">
        <v>35</v>
      </c>
      <c r="C36" s="17"/>
      <c r="F36" s="95">
        <v>43113</v>
      </c>
    </row>
    <row r="37" spans="1:64" x14ac:dyDescent="0.25">
      <c r="B37" s="99" t="s">
        <v>36</v>
      </c>
      <c r="C37" s="18"/>
    </row>
    <row r="38" spans="1:64" x14ac:dyDescent="0.25">
      <c r="B38" s="98" t="s">
        <v>37</v>
      </c>
    </row>
  </sheetData>
  <mergeCells count="10">
    <mergeCell ref="AK4:AQ4"/>
    <mergeCell ref="AR4:AX4"/>
    <mergeCell ref="AY4:BE4"/>
    <mergeCell ref="BF4:BL4"/>
    <mergeCell ref="E2:F2"/>
    <mergeCell ref="I4:O4"/>
    <mergeCell ref="P4:V4"/>
    <mergeCell ref="W4:AC4"/>
    <mergeCell ref="AD4:AJ4"/>
    <mergeCell ref="E3:F3"/>
  </mergeCells>
  <conditionalFormatting sqref="D7:D34">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4">
    <cfRule type="expression" dxfId="2" priority="27">
      <formula>AND(today&gt;=I$5,today&lt;I$5+1)</formula>
    </cfRule>
  </conditionalFormatting>
  <conditionalFormatting sqref="I7:BL34">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37" r:id="rId1" xr:uid="{00000000-0004-0000-0000-000000000000}"/>
    <hyperlink ref="B36"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28515625" defaultRowHeight="12.75" x14ac:dyDescent="0.2"/>
  <cols>
    <col min="1" max="1" width="2.7109375" style="2" customWidth="1"/>
    <col min="2" max="2" width="87.28515625" style="85" customWidth="1"/>
    <col min="3" max="16384" width="9.28515625" style="2"/>
  </cols>
  <sheetData>
    <row r="1" spans="2:3" ht="46.5" customHeight="1" x14ac:dyDescent="0.2"/>
    <row r="2" spans="2:3" s="87" customFormat="1" ht="15.75" x14ac:dyDescent="0.25">
      <c r="B2" s="86" t="s">
        <v>35</v>
      </c>
      <c r="C2" s="86"/>
    </row>
    <row r="3" spans="2:3" s="89" customFormat="1" ht="13.5" customHeight="1" x14ac:dyDescent="0.25">
      <c r="B3" s="88" t="s">
        <v>36</v>
      </c>
      <c r="C3" s="88"/>
    </row>
    <row r="4" spans="2:3" x14ac:dyDescent="0.2">
      <c r="B4" s="97" t="s">
        <v>37</v>
      </c>
    </row>
    <row r="6" spans="2:3" s="90" customFormat="1" ht="26.25" x14ac:dyDescent="0.4">
      <c r="B6" s="92" t="s">
        <v>38</v>
      </c>
    </row>
    <row r="7" spans="2:3" ht="60" x14ac:dyDescent="0.2">
      <c r="B7" s="93" t="s">
        <v>39</v>
      </c>
    </row>
    <row r="8" spans="2:3" ht="15" x14ac:dyDescent="0.2">
      <c r="B8" s="91"/>
    </row>
    <row r="9" spans="2:3" s="90" customFormat="1" ht="26.25" x14ac:dyDescent="0.4">
      <c r="B9" s="92" t="s">
        <v>40</v>
      </c>
    </row>
    <row r="10" spans="2:3" ht="60" x14ac:dyDescent="0.2">
      <c r="B10" s="93" t="s">
        <v>41</v>
      </c>
    </row>
    <row r="11" spans="2:3" ht="14.25" x14ac:dyDescent="0.2">
      <c r="B11" s="94" t="s">
        <v>42</v>
      </c>
    </row>
    <row r="12" spans="2:3" ht="15" x14ac:dyDescent="0.2">
      <c r="B12" s="91"/>
    </row>
    <row r="13" spans="2:3" ht="14.25" x14ac:dyDescent="0.2">
      <c r="B13" s="100" t="str">
        <f>HYPERLINK("https://vertex42.link/HowToMakeAGanttChart","► Watch How This Gantt Chart Was Created")</f>
        <v>► Watch How This Gantt Chart Was Created</v>
      </c>
    </row>
    <row r="14" spans="2:3" ht="15" x14ac:dyDescent="0.2">
      <c r="B14" s="91"/>
    </row>
    <row r="15" spans="2:3" s="90" customFormat="1" ht="26.25" x14ac:dyDescent="0.4">
      <c r="B15" s="92" t="s">
        <v>43</v>
      </c>
    </row>
    <row r="16" spans="2:3" ht="30" x14ac:dyDescent="0.2">
      <c r="B16" s="93" t="s">
        <v>44</v>
      </c>
    </row>
    <row r="17" spans="2:2" ht="14.25" x14ac:dyDescent="0.2">
      <c r="B17" s="94" t="s">
        <v>45</v>
      </c>
    </row>
    <row r="18" spans="2:2" ht="15" x14ac:dyDescent="0.2">
      <c r="B18" s="91"/>
    </row>
    <row r="19" spans="2:2" s="90" customFormat="1" ht="26.25" x14ac:dyDescent="0.4">
      <c r="B19" s="92" t="s">
        <v>46</v>
      </c>
    </row>
    <row r="20" spans="2:2" ht="60" x14ac:dyDescent="0.2">
      <c r="B20" s="93" t="s">
        <v>47</v>
      </c>
    </row>
    <row r="21" spans="2:2" ht="15" x14ac:dyDescent="0.2">
      <c r="B21" s="91"/>
    </row>
    <row r="22" spans="2:2" ht="75" x14ac:dyDescent="0.2">
      <c r="B22" s="93" t="s">
        <v>48</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03E0C156CE1F4E92CB6AEBBD05F86A" ma:contentTypeVersion="5" ma:contentTypeDescription="Create a new document." ma:contentTypeScope="" ma:versionID="9344554dc12e2f9a16337ebd69038bdd">
  <xsd:schema xmlns:xsd="http://www.w3.org/2001/XMLSchema" xmlns:xs="http://www.w3.org/2001/XMLSchema" xmlns:p="http://schemas.microsoft.com/office/2006/metadata/properties" xmlns:ns2="aa1b7f46-24c2-402e-be29-b517ac9e194d" targetNamespace="http://schemas.microsoft.com/office/2006/metadata/properties" ma:root="true" ma:fieldsID="8fe71107b3c21d1e04b8c1f7d107958a" ns2:_="">
    <xsd:import namespace="aa1b7f46-24c2-402e-be29-b517ac9e194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b7f46-24c2-402e-be29-b517ac9e19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F88B1B-750D-4752-86F5-777C7E7B98E8}">
  <ds:schemaRefs>
    <ds:schemaRef ds:uri="http://schemas.microsoft.com/sharepoint/v3/contenttype/forms"/>
  </ds:schemaRefs>
</ds:datastoreItem>
</file>

<file path=customXml/itemProps2.xml><?xml version="1.0" encoding="utf-8"?>
<ds:datastoreItem xmlns:ds="http://schemas.openxmlformats.org/officeDocument/2006/customXml" ds:itemID="{FBD5DFA5-CE39-4D1D-B8E5-B7B11BBDC9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b7f46-24c2-402e-be29-b517ac9e19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A416F5-D51E-4F6A-890A-81FFC9124A0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Isaac Adjei</dc:creator>
  <cp:keywords/>
  <dc:description>© 2018-2019 Vertex42 LLC. All Rights Reserved.</dc:description>
  <cp:lastModifiedBy>Isaac Adjei (Student)</cp:lastModifiedBy>
  <cp:revision/>
  <dcterms:created xsi:type="dcterms:W3CDTF">2017-01-09T18:01:51Z</dcterms:created>
  <dcterms:modified xsi:type="dcterms:W3CDTF">2025-12-04T14:16:20Z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0x010100A203E0C156CE1F4E92CB6AEBBD05F86A</vt:lpwstr>
  </property>
</Properties>
</file>