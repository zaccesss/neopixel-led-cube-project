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neopixel-led-cube\docs\"/>
    </mc:Choice>
  </mc:AlternateContent>
  <xr:revisionPtr revIDLastSave="0" documentId="13_ncr:1_{7AA35232-E6E6-4263-8440-7347D5302C0F}" xr6:coauthVersionLast="47" xr6:coauthVersionMax="47" xr10:uidLastSave="{00000000-0000-0000-0000-000000000000}"/>
  <bookViews>
    <workbookView xWindow="-120" yWindow="-120" windowWidth="38640" windowHeight="21120" activeTab="2" xr2:uid="{D4217A90-0F63-4C33-8283-AB01686E1F91}"/>
  </bookViews>
  <sheets>
    <sheet name="Development Costs" sheetId="1" r:id="rId1"/>
    <sheet name="Manufacturer Costs" sheetId="2" r:id="rId2"/>
    <sheet name="Cost Comparison (vs. Volume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D21" i="3"/>
  <c r="C21" i="3"/>
  <c r="B21" i="3"/>
  <c r="B16" i="3"/>
  <c r="E16" i="3"/>
  <c r="D16" i="3"/>
  <c r="C16" i="3"/>
  <c r="E15" i="3"/>
  <c r="D15" i="3"/>
  <c r="C15" i="3"/>
  <c r="B15" i="3"/>
  <c r="C15" i="2"/>
  <c r="D15" i="2"/>
  <c r="E15" i="2"/>
  <c r="B15" i="2"/>
  <c r="H9" i="1"/>
  <c r="J4" i="1"/>
  <c r="J5" i="1"/>
  <c r="J6" i="1"/>
  <c r="J7" i="1"/>
  <c r="J8" i="1"/>
  <c r="J3" i="1"/>
  <c r="J9" i="1" s="1"/>
  <c r="J10" i="1" s="1"/>
  <c r="D12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<sst xmlns="http://schemas.openxmlformats.org/spreadsheetml/2006/main" count="68" uniqueCount="44">
  <si>
    <t xml:space="preserve">Development Costs </t>
  </si>
  <si>
    <t>Labour Costs (£16/hour)</t>
  </si>
  <si>
    <t>Component</t>
  </si>
  <si>
    <t>Cost per Unit (£)</t>
  </si>
  <si>
    <t>Quantity</t>
  </si>
  <si>
    <t>Total Cost (£)</t>
  </si>
  <si>
    <t>Task</t>
  </si>
  <si>
    <t>Hours</t>
  </si>
  <si>
    <t>Cost per Hour (£)</t>
  </si>
  <si>
    <t>BTF-LIGHTING WS2812B ECO RGB LEDs (100pcs)</t>
  </si>
  <si>
    <t>Cube Soldering</t>
  </si>
  <si>
    <t>Electronic Buzzer (10pcs)</t>
  </si>
  <si>
    <t>Market Research</t>
  </si>
  <si>
    <t>Solder Flux Paste (10g)</t>
  </si>
  <si>
    <t>Regulation Research</t>
  </si>
  <si>
    <t>Copper Wire (10m x 0.9mm)</t>
  </si>
  <si>
    <t>Testing Cube</t>
  </si>
  <si>
    <t>5V 6A 30W Power Adapter</t>
  </si>
  <si>
    <t>Writing Code</t>
  </si>
  <si>
    <t>DC Power Jack (15pcs)</t>
  </si>
  <si>
    <t>Marketing Video</t>
  </si>
  <si>
    <t>Resistors, Capacitors, Buttons, LDRs</t>
  </si>
  <si>
    <t>Total Labour Cost</t>
  </si>
  <si>
    <t>MDF (Case Material)</t>
  </si>
  <si>
    <t xml:space="preserve">Total development cost      </t>
  </si>
  <si>
    <t>Arduino UNO R3</t>
  </si>
  <si>
    <t>Sub total</t>
  </si>
  <si>
    <t>Unit Costs at Different Volumes</t>
  </si>
  <si>
    <t>Cost (1 unit)</t>
  </si>
  <si>
    <t>Cost (100 units)</t>
  </si>
  <si>
    <t>Cost (500 units)</t>
  </si>
  <si>
    <t>Cost (1000 units)</t>
  </si>
  <si>
    <t>5V 6A 30W PSU</t>
  </si>
  <si>
    <t>DC Power Jack</t>
  </si>
  <si>
    <t>WS2812 NeoPixels (x64)</t>
  </si>
  <si>
    <t>Other Resistors/Capacitors</t>
  </si>
  <si>
    <t>Buttons (x2)</t>
  </si>
  <si>
    <t>LDR</t>
  </si>
  <si>
    <t>Piezo Buzzer</t>
  </si>
  <si>
    <t>1000µF Capacitor</t>
  </si>
  <si>
    <t>MDF Case</t>
  </si>
  <si>
    <t>Power Cable</t>
  </si>
  <si>
    <t>Total Cost per Unit</t>
  </si>
  <si>
    <t xml:space="preserve">Total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</si>
</sst>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8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6" fontId="0" fillId="0" borderId="0" xfId="0" applyNumberFormat="1"/>
    <xf numFmtId="8" fontId="0" fillId="0" borderId="0" xfId="0" applyNumberForma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Cost per unit vs Volume Comparison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 Comparison (vs. Volume)'!$A$20</c:f>
              <c:strCache>
                <c:ptCount val="1"/>
                <c:pt idx="0">
                  <c:v>Total Cost per Unit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 Comparison (vs. Volume)'!$B$19:$E$19</c:f>
              <c:numCache>
                <c:formatCode>0.00</c:formatCode>
                <c:ptCount val="4"/>
                <c:pt idx="0">
                  <c:v>1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'Cost Comparison (vs. Volume)'!$B$20:$E$20</c:f>
              <c:numCache>
                <c:formatCode>"£"#,##0.00_);[Red]\("£"#,##0.00\)</c:formatCode>
                <c:ptCount val="4"/>
                <c:pt idx="0">
                  <c:v>69.22</c:v>
                </c:pt>
                <c:pt idx="1">
                  <c:v>62.849999999999994</c:v>
                </c:pt>
                <c:pt idx="2">
                  <c:v>58.7</c:v>
                </c:pt>
                <c:pt idx="3">
                  <c:v>54.900000000000006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B-4B54-909D-03E385E39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797952"/>
        <c:axId val="868800832"/>
      </c:scatterChart>
      <c:valAx>
        <c:axId val="86879795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800832"/>
        <c:crosses val="autoZero"/>
        <c:crossBetween val="midCat"/>
      </c:valAx>
      <c:valAx>
        <c:axId val="86880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Cost  per unit (£)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&quot;£&quot;#,##0.00_);[Red]\(&quot;£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9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Product Cost vs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 Comparison (vs. Volume)'!$A$21</c:f>
              <c:strCache>
                <c:ptCount val="1"/>
                <c:pt idx="0">
                  <c:v>Total cost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 Comparison (vs. Volume)'!$B$19:$E$19</c:f>
              <c:numCache>
                <c:formatCode>0.00</c:formatCode>
                <c:ptCount val="4"/>
                <c:pt idx="0">
                  <c:v>1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'Cost Comparison (vs. Volume)'!$B$21:$E$21</c:f>
              <c:numCache>
                <c:formatCode>"£"#,##0.00_);[Red]\("£"#,##0.00\)</c:formatCode>
                <c:ptCount val="4"/>
                <c:pt idx="0">
                  <c:v>69.22</c:v>
                </c:pt>
                <c:pt idx="1">
                  <c:v>6284.9999999999991</c:v>
                </c:pt>
                <c:pt idx="2">
                  <c:v>29350</c:v>
                </c:pt>
                <c:pt idx="3">
                  <c:v>54900.000000000007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8-476B-BF02-ED8AC644E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564848"/>
        <c:axId val="1567565328"/>
      </c:scatterChart>
      <c:valAx>
        <c:axId val="156756484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Production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65328"/>
        <c:crosses val="autoZero"/>
        <c:crossBetween val="midCat"/>
        <c:majorUnit val="100"/>
      </c:valAx>
      <c:valAx>
        <c:axId val="15675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_);[Red]\(&quot;£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6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161924</xdr:rowOff>
    </xdr:from>
    <xdr:to>
      <xdr:col>5</xdr:col>
      <xdr:colOff>19050</xdr:colOff>
      <xdr:row>36</xdr:row>
      <xdr:rowOff>133349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881FBC-21FF-B7CB-C21D-07D2BD870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180975</xdr:rowOff>
    </xdr:from>
    <xdr:to>
      <xdr:col>5</xdr:col>
      <xdr:colOff>9524</xdr:colOff>
      <xdr:row>52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E79FCF-6E88-5446-5B59-10F784212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CA23-D8E0-4FF9-8064-B4531A79F393}">
  <dimension ref="A1:J15"/>
  <sheetViews>
    <sheetView workbookViewId="0">
      <selection activeCell="J10" sqref="J10"/>
    </sheetView>
  </sheetViews>
  <sheetFormatPr defaultRowHeight="15" x14ac:dyDescent="0.25"/>
  <cols>
    <col min="1" max="1" width="22" bestFit="1" customWidth="1"/>
    <col min="2" max="2" width="8.140625" bestFit="1" customWidth="1"/>
    <col min="3" max="3" width="8.42578125" bestFit="1" customWidth="1"/>
    <col min="4" max="4" width="7.7109375" bestFit="1" customWidth="1"/>
    <col min="7" max="7" width="26.5703125" bestFit="1" customWidth="1"/>
    <col min="8" max="8" width="6.28515625" bestFit="1" customWidth="1"/>
    <col min="9" max="9" width="8.140625" bestFit="1" customWidth="1"/>
    <col min="10" max="10" width="7.7109375" bestFit="1" customWidth="1"/>
  </cols>
  <sheetData>
    <row r="1" spans="1:10" ht="18" x14ac:dyDescent="0.25">
      <c r="A1" s="2" t="s">
        <v>0</v>
      </c>
      <c r="G1" s="2" t="s">
        <v>1</v>
      </c>
    </row>
    <row r="2" spans="1:10" ht="30" x14ac:dyDescent="0.25">
      <c r="A2" s="3" t="s">
        <v>2</v>
      </c>
      <c r="B2" s="3" t="s">
        <v>3</v>
      </c>
      <c r="C2" s="3" t="s">
        <v>4</v>
      </c>
      <c r="D2" s="3" t="s">
        <v>5</v>
      </c>
      <c r="G2" s="1" t="s">
        <v>6</v>
      </c>
      <c r="H2" s="1" t="s">
        <v>7</v>
      </c>
      <c r="I2" s="1" t="s">
        <v>8</v>
      </c>
      <c r="J2" s="1" t="s">
        <v>5</v>
      </c>
    </row>
    <row r="3" spans="1:10" ht="30" x14ac:dyDescent="0.25">
      <c r="A3" s="1" t="s">
        <v>9</v>
      </c>
      <c r="B3" s="1">
        <v>11.99</v>
      </c>
      <c r="C3" s="1">
        <v>1</v>
      </c>
      <c r="D3" s="1">
        <f>B3*C3</f>
        <v>11.99</v>
      </c>
      <c r="G3" s="1" t="s">
        <v>10</v>
      </c>
      <c r="H3" s="1">
        <v>4</v>
      </c>
      <c r="I3" s="1">
        <v>16</v>
      </c>
      <c r="J3" s="1">
        <f>H3*I3</f>
        <v>64</v>
      </c>
    </row>
    <row r="4" spans="1:10" ht="30" x14ac:dyDescent="0.25">
      <c r="A4" s="1" t="s">
        <v>11</v>
      </c>
      <c r="B4" s="1">
        <v>8.35</v>
      </c>
      <c r="C4" s="1">
        <v>1</v>
      </c>
      <c r="D4" s="1">
        <f t="shared" ref="D4:D11" si="0">B4*C4</f>
        <v>8.35</v>
      </c>
      <c r="G4" s="1" t="s">
        <v>12</v>
      </c>
      <c r="H4" s="1">
        <v>2</v>
      </c>
      <c r="I4" s="1">
        <v>16</v>
      </c>
      <c r="J4" s="1">
        <f t="shared" ref="J4:J8" si="1">H4*I4</f>
        <v>32</v>
      </c>
    </row>
    <row r="5" spans="1:10" x14ac:dyDescent="0.25">
      <c r="A5" s="1" t="s">
        <v>13</v>
      </c>
      <c r="B5" s="1">
        <v>3.69</v>
      </c>
      <c r="C5" s="1">
        <v>2</v>
      </c>
      <c r="D5" s="1">
        <f t="shared" si="0"/>
        <v>7.38</v>
      </c>
      <c r="G5" s="1" t="s">
        <v>14</v>
      </c>
      <c r="H5" s="1">
        <v>1</v>
      </c>
      <c r="I5" s="1">
        <v>16</v>
      </c>
      <c r="J5" s="1">
        <f t="shared" si="1"/>
        <v>16</v>
      </c>
    </row>
    <row r="6" spans="1:10" ht="30" x14ac:dyDescent="0.25">
      <c r="A6" s="1" t="s">
        <v>15</v>
      </c>
      <c r="B6" s="1">
        <v>6.79</v>
      </c>
      <c r="C6" s="1">
        <v>1</v>
      </c>
      <c r="D6" s="1">
        <f t="shared" si="0"/>
        <v>6.79</v>
      </c>
      <c r="G6" s="1" t="s">
        <v>16</v>
      </c>
      <c r="H6" s="1">
        <v>1</v>
      </c>
      <c r="I6" s="1">
        <v>16</v>
      </c>
      <c r="J6" s="1">
        <f t="shared" si="1"/>
        <v>16</v>
      </c>
    </row>
    <row r="7" spans="1:10" ht="30" x14ac:dyDescent="0.25">
      <c r="A7" s="1" t="s">
        <v>17</v>
      </c>
      <c r="B7" s="1">
        <v>11.98</v>
      </c>
      <c r="C7" s="1">
        <v>1</v>
      </c>
      <c r="D7" s="1">
        <f t="shared" si="0"/>
        <v>11.98</v>
      </c>
      <c r="G7" s="1" t="s">
        <v>18</v>
      </c>
      <c r="H7" s="1">
        <v>3</v>
      </c>
      <c r="I7" s="1">
        <v>16</v>
      </c>
      <c r="J7" s="1">
        <f t="shared" si="1"/>
        <v>48</v>
      </c>
    </row>
    <row r="8" spans="1:10" x14ac:dyDescent="0.25">
      <c r="A8" s="1" t="s">
        <v>19</v>
      </c>
      <c r="B8" s="1">
        <v>5.09</v>
      </c>
      <c r="C8" s="1">
        <v>1</v>
      </c>
      <c r="D8" s="1">
        <f t="shared" si="0"/>
        <v>5.09</v>
      </c>
      <c r="G8" s="1" t="s">
        <v>20</v>
      </c>
      <c r="H8" s="1">
        <v>1</v>
      </c>
      <c r="I8" s="1">
        <v>16</v>
      </c>
      <c r="J8" s="1">
        <f t="shared" si="1"/>
        <v>16</v>
      </c>
    </row>
    <row r="9" spans="1:10" ht="30" x14ac:dyDescent="0.25">
      <c r="A9" s="1" t="s">
        <v>21</v>
      </c>
      <c r="B9" s="1">
        <v>1</v>
      </c>
      <c r="C9" s="1">
        <v>8</v>
      </c>
      <c r="D9" s="1">
        <f t="shared" si="0"/>
        <v>8</v>
      </c>
      <c r="G9" s="1" t="s">
        <v>22</v>
      </c>
      <c r="H9" s="1">
        <f>H3+H4+H5+H6+H8+H7</f>
        <v>12</v>
      </c>
      <c r="I9" s="1"/>
      <c r="J9" s="5">
        <f>J3+J4+J5+J6+J7+J8</f>
        <v>192</v>
      </c>
    </row>
    <row r="10" spans="1:10" x14ac:dyDescent="0.25">
      <c r="A10" s="1" t="s">
        <v>23</v>
      </c>
      <c r="B10" s="1">
        <v>13</v>
      </c>
      <c r="C10" s="1">
        <v>1</v>
      </c>
      <c r="D10" s="1">
        <f t="shared" si="0"/>
        <v>13</v>
      </c>
      <c r="G10" t="s">
        <v>24</v>
      </c>
      <c r="J10" s="6">
        <f>D12+J9</f>
        <v>286.59000000000003</v>
      </c>
    </row>
    <row r="11" spans="1:10" x14ac:dyDescent="0.25">
      <c r="A11" s="1" t="s">
        <v>25</v>
      </c>
      <c r="B11" s="1">
        <v>22.01</v>
      </c>
      <c r="C11" s="1">
        <v>1</v>
      </c>
      <c r="D11" s="1">
        <f t="shared" si="0"/>
        <v>22.01</v>
      </c>
    </row>
    <row r="12" spans="1:10" ht="30" x14ac:dyDescent="0.25">
      <c r="A12" s="1"/>
      <c r="B12" s="1"/>
      <c r="C12" s="4" t="s">
        <v>26</v>
      </c>
      <c r="D12">
        <f>D3+D4+D5+D6+D7+D8+D9+D10+D11</f>
        <v>94.59</v>
      </c>
      <c r="H12" s="6"/>
    </row>
    <row r="13" spans="1:10" x14ac:dyDescent="0.25">
      <c r="G13" s="1"/>
    </row>
    <row r="15" spans="1:10" x14ac:dyDescent="0.25">
      <c r="A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C661-6E07-4C02-9DE8-DE7F004A3793}">
  <dimension ref="A1:E15"/>
  <sheetViews>
    <sheetView workbookViewId="0">
      <selection activeCell="E15" sqref="E15"/>
    </sheetView>
  </sheetViews>
  <sheetFormatPr defaultRowHeight="15" x14ac:dyDescent="0.25"/>
  <cols>
    <col min="1" max="1" width="33.7109375" bestFit="1" customWidth="1"/>
    <col min="2" max="2" width="7" bestFit="1" customWidth="1"/>
    <col min="3" max="4" width="9" bestFit="1" customWidth="1"/>
    <col min="5" max="5" width="6.5703125" bestFit="1" customWidth="1"/>
  </cols>
  <sheetData>
    <row r="1" spans="1:5" ht="18" x14ac:dyDescent="0.25">
      <c r="A1" s="2" t="s">
        <v>27</v>
      </c>
    </row>
    <row r="3" spans="1:5" ht="45" x14ac:dyDescent="0.25">
      <c r="A3" s="3" t="s">
        <v>2</v>
      </c>
      <c r="B3" s="3" t="s">
        <v>28</v>
      </c>
      <c r="C3" s="3" t="s">
        <v>29</v>
      </c>
      <c r="D3" s="3" t="s">
        <v>30</v>
      </c>
      <c r="E3" s="3" t="s">
        <v>31</v>
      </c>
    </row>
    <row r="4" spans="1:5" x14ac:dyDescent="0.25">
      <c r="A4" s="1" t="s">
        <v>25</v>
      </c>
      <c r="B4" s="4">
        <v>22.01</v>
      </c>
      <c r="C4" s="4">
        <v>20</v>
      </c>
      <c r="D4" s="4">
        <v>18.5</v>
      </c>
      <c r="E4" s="4">
        <v>17</v>
      </c>
    </row>
    <row r="5" spans="1:5" x14ac:dyDescent="0.25">
      <c r="A5" s="1" t="s">
        <v>32</v>
      </c>
      <c r="B5" s="4">
        <v>11.98</v>
      </c>
      <c r="C5" s="4">
        <v>10.5</v>
      </c>
      <c r="D5" s="4">
        <v>10</v>
      </c>
      <c r="E5" s="4">
        <v>9.5</v>
      </c>
    </row>
    <row r="6" spans="1:5" x14ac:dyDescent="0.25">
      <c r="A6" s="1" t="s">
        <v>33</v>
      </c>
      <c r="B6" s="4">
        <v>5.09</v>
      </c>
      <c r="C6" s="4">
        <v>4.5</v>
      </c>
      <c r="D6" s="4">
        <v>4</v>
      </c>
      <c r="E6" s="4">
        <v>3.5</v>
      </c>
    </row>
    <row r="7" spans="1:5" x14ac:dyDescent="0.25">
      <c r="A7" s="1" t="s">
        <v>34</v>
      </c>
      <c r="B7" s="4">
        <v>11.99</v>
      </c>
      <c r="C7" s="4">
        <v>10.8</v>
      </c>
      <c r="D7" s="4">
        <v>10</v>
      </c>
      <c r="E7" s="4">
        <v>9.5</v>
      </c>
    </row>
    <row r="8" spans="1:5" x14ac:dyDescent="0.25">
      <c r="A8" s="1" t="s">
        <v>35</v>
      </c>
      <c r="B8" s="4">
        <v>0.95</v>
      </c>
      <c r="C8" s="4">
        <v>0.8</v>
      </c>
      <c r="D8" s="4">
        <v>0.75</v>
      </c>
      <c r="E8" s="4">
        <v>0.7</v>
      </c>
    </row>
    <row r="9" spans="1:5" x14ac:dyDescent="0.25">
      <c r="A9" s="1" t="s">
        <v>36</v>
      </c>
      <c r="B9" s="4">
        <v>0.4</v>
      </c>
      <c r="C9" s="4">
        <v>0.35</v>
      </c>
      <c r="D9" s="4">
        <v>0.3</v>
      </c>
      <c r="E9" s="4">
        <v>0.25</v>
      </c>
    </row>
    <row r="10" spans="1:5" x14ac:dyDescent="0.25">
      <c r="A10" s="1" t="s">
        <v>37</v>
      </c>
      <c r="B10" s="4">
        <v>0.5</v>
      </c>
      <c r="C10" s="4">
        <v>0.45</v>
      </c>
      <c r="D10" s="4">
        <v>0.4</v>
      </c>
      <c r="E10" s="4">
        <v>0.35</v>
      </c>
    </row>
    <row r="11" spans="1:5" x14ac:dyDescent="0.25">
      <c r="A11" s="1" t="s">
        <v>38</v>
      </c>
      <c r="B11" s="4">
        <v>1</v>
      </c>
      <c r="C11" s="4">
        <v>0.9</v>
      </c>
      <c r="D11" s="4">
        <v>0.85</v>
      </c>
      <c r="E11" s="4">
        <v>0.8</v>
      </c>
    </row>
    <row r="12" spans="1:5" x14ac:dyDescent="0.25">
      <c r="A12" s="1" t="s">
        <v>39</v>
      </c>
      <c r="B12" s="4">
        <v>0.3</v>
      </c>
      <c r="C12" s="4">
        <v>0.25</v>
      </c>
      <c r="D12" s="4">
        <v>0.2</v>
      </c>
      <c r="E12" s="4">
        <v>0.2</v>
      </c>
    </row>
    <row r="13" spans="1:5" x14ac:dyDescent="0.25">
      <c r="A13" s="1" t="s">
        <v>40</v>
      </c>
      <c r="B13" s="4">
        <v>13</v>
      </c>
      <c r="C13" s="4">
        <v>12.5</v>
      </c>
      <c r="D13" s="4">
        <v>12</v>
      </c>
      <c r="E13" s="4">
        <v>11.5</v>
      </c>
    </row>
    <row r="14" spans="1:5" x14ac:dyDescent="0.25">
      <c r="A14" s="1" t="s">
        <v>41</v>
      </c>
      <c r="B14" s="4">
        <v>2</v>
      </c>
      <c r="C14" s="4">
        <v>1.8</v>
      </c>
      <c r="D14" s="4">
        <v>1.7</v>
      </c>
      <c r="E14" s="4">
        <v>1.6</v>
      </c>
    </row>
    <row r="15" spans="1:5" x14ac:dyDescent="0.25">
      <c r="A15" s="1" t="s">
        <v>42</v>
      </c>
      <c r="B15" s="4">
        <f>B4+B5+B6+B7+B8+B9+B10+B11+B12+B13+B14</f>
        <v>69.22</v>
      </c>
      <c r="C15" s="4">
        <f t="shared" ref="C15:E15" si="0">C4+C5+C6+C7+C8+C9+C10+C11+C12+C13+C14</f>
        <v>62.849999999999994</v>
      </c>
      <c r="D15" s="4">
        <f t="shared" si="0"/>
        <v>58.7</v>
      </c>
      <c r="E15" s="4">
        <f t="shared" si="0"/>
        <v>54.900000000000006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F5E0-42B8-4FAF-9821-D91C4365DA59}">
  <dimension ref="A1:E21"/>
  <sheetViews>
    <sheetView tabSelected="1" topLeftCell="A2" workbookViewId="0">
      <selection activeCell="F8" sqref="F8"/>
    </sheetView>
  </sheetViews>
  <sheetFormatPr defaultRowHeight="15" x14ac:dyDescent="0.25"/>
  <cols>
    <col min="1" max="1" width="33.7109375" bestFit="1" customWidth="1"/>
    <col min="2" max="2" width="7" bestFit="1" customWidth="1"/>
    <col min="3" max="3" width="9" bestFit="1" customWidth="1"/>
    <col min="4" max="5" width="10.140625" bestFit="1" customWidth="1"/>
  </cols>
  <sheetData>
    <row r="1" spans="1:5" ht="18" x14ac:dyDescent="0.25">
      <c r="A1" s="2" t="s">
        <v>27</v>
      </c>
    </row>
    <row r="3" spans="1:5" ht="30" x14ac:dyDescent="0.25">
      <c r="A3" s="3" t="s">
        <v>2</v>
      </c>
      <c r="B3" s="3" t="s">
        <v>28</v>
      </c>
      <c r="C3" s="3" t="s">
        <v>29</v>
      </c>
      <c r="D3" s="3" t="s">
        <v>30</v>
      </c>
      <c r="E3" s="3" t="s">
        <v>31</v>
      </c>
    </row>
    <row r="4" spans="1:5" x14ac:dyDescent="0.25">
      <c r="A4" s="1" t="s">
        <v>25</v>
      </c>
      <c r="B4" s="4">
        <v>22.01</v>
      </c>
      <c r="C4" s="4">
        <v>20</v>
      </c>
      <c r="D4" s="4">
        <v>18.5</v>
      </c>
      <c r="E4" s="4">
        <v>17</v>
      </c>
    </row>
    <row r="5" spans="1:5" x14ac:dyDescent="0.25">
      <c r="A5" s="1" t="s">
        <v>32</v>
      </c>
      <c r="B5" s="4">
        <v>11.98</v>
      </c>
      <c r="C5" s="4">
        <v>10.5</v>
      </c>
      <c r="D5" s="4">
        <v>10</v>
      </c>
      <c r="E5" s="4">
        <v>9.5</v>
      </c>
    </row>
    <row r="6" spans="1:5" x14ac:dyDescent="0.25">
      <c r="A6" s="1" t="s">
        <v>33</v>
      </c>
      <c r="B6" s="4">
        <v>5.09</v>
      </c>
      <c r="C6" s="4">
        <v>4.5</v>
      </c>
      <c r="D6" s="4">
        <v>4</v>
      </c>
      <c r="E6" s="4">
        <v>3.5</v>
      </c>
    </row>
    <row r="7" spans="1:5" x14ac:dyDescent="0.25">
      <c r="A7" s="1" t="s">
        <v>34</v>
      </c>
      <c r="B7" s="4">
        <v>11.99</v>
      </c>
      <c r="C7" s="4">
        <v>10.8</v>
      </c>
      <c r="D7" s="4">
        <v>10</v>
      </c>
      <c r="E7" s="4">
        <v>9.5</v>
      </c>
    </row>
    <row r="8" spans="1:5" x14ac:dyDescent="0.25">
      <c r="A8" s="1" t="s">
        <v>35</v>
      </c>
      <c r="B8" s="4">
        <v>0.95</v>
      </c>
      <c r="C8" s="4">
        <v>0.8</v>
      </c>
      <c r="D8" s="4">
        <v>0.75</v>
      </c>
      <c r="E8" s="4">
        <v>0.7</v>
      </c>
    </row>
    <row r="9" spans="1:5" x14ac:dyDescent="0.25">
      <c r="A9" s="1" t="s">
        <v>36</v>
      </c>
      <c r="B9" s="4">
        <v>0.4</v>
      </c>
      <c r="C9" s="4">
        <v>0.35</v>
      </c>
      <c r="D9" s="4">
        <v>0.3</v>
      </c>
      <c r="E9" s="4">
        <v>0.25</v>
      </c>
    </row>
    <row r="10" spans="1:5" x14ac:dyDescent="0.25">
      <c r="A10" s="1" t="s">
        <v>37</v>
      </c>
      <c r="B10" s="4">
        <v>0.5</v>
      </c>
      <c r="C10" s="4">
        <v>0.45</v>
      </c>
      <c r="D10" s="4">
        <v>0.4</v>
      </c>
      <c r="E10" s="4">
        <v>0.35</v>
      </c>
    </row>
    <row r="11" spans="1:5" x14ac:dyDescent="0.25">
      <c r="A11" s="1" t="s">
        <v>38</v>
      </c>
      <c r="B11" s="4">
        <v>1</v>
      </c>
      <c r="C11" s="4">
        <v>0.9</v>
      </c>
      <c r="D11" s="4">
        <v>0.85</v>
      </c>
      <c r="E11" s="4">
        <v>0.8</v>
      </c>
    </row>
    <row r="12" spans="1:5" x14ac:dyDescent="0.25">
      <c r="A12" s="1" t="s">
        <v>39</v>
      </c>
      <c r="B12" s="4">
        <v>0.3</v>
      </c>
      <c r="C12" s="4">
        <v>0.25</v>
      </c>
      <c r="D12" s="4">
        <v>0.2</v>
      </c>
      <c r="E12" s="4">
        <v>0.2</v>
      </c>
    </row>
    <row r="13" spans="1:5" x14ac:dyDescent="0.25">
      <c r="A13" s="1" t="s">
        <v>40</v>
      </c>
      <c r="B13" s="4">
        <v>13</v>
      </c>
      <c r="C13" s="4">
        <v>12.5</v>
      </c>
      <c r="D13" s="4">
        <v>12</v>
      </c>
      <c r="E13" s="4">
        <v>11.5</v>
      </c>
    </row>
    <row r="14" spans="1:5" x14ac:dyDescent="0.25">
      <c r="A14" s="1" t="s">
        <v>41</v>
      </c>
      <c r="B14" s="4">
        <v>2</v>
      </c>
      <c r="C14" s="4">
        <v>1.8</v>
      </c>
      <c r="D14" s="4">
        <v>1.7</v>
      </c>
      <c r="E14" s="4">
        <v>1.6</v>
      </c>
    </row>
    <row r="15" spans="1:5" x14ac:dyDescent="0.25">
      <c r="A15" s="1" t="s">
        <v>42</v>
      </c>
      <c r="B15" s="4">
        <f>B4+B5+B6+B7+B8+B9+B10+B11+B12+B13+B14</f>
        <v>69.22</v>
      </c>
      <c r="C15" s="4">
        <f t="shared" ref="C15:E15" si="0">C4+C5+C6+C7+C8+C9+C10+C11+C12+C13+C14</f>
        <v>62.849999999999994</v>
      </c>
      <c r="D15" s="4">
        <f t="shared" si="0"/>
        <v>58.7</v>
      </c>
      <c r="E15" s="4">
        <f t="shared" si="0"/>
        <v>54.900000000000006</v>
      </c>
    </row>
    <row r="16" spans="1:5" x14ac:dyDescent="0.25">
      <c r="A16" s="1" t="s">
        <v>43</v>
      </c>
      <c r="B16" s="7">
        <f>B15*1</f>
        <v>69.22</v>
      </c>
      <c r="C16" s="7">
        <f>C15*100</f>
        <v>6284.9999999999991</v>
      </c>
      <c r="D16" s="7">
        <f>D15*500</f>
        <v>29350</v>
      </c>
      <c r="E16" s="7">
        <f>E15*1000</f>
        <v>54900.000000000007</v>
      </c>
    </row>
    <row r="19" spans="1:5" x14ac:dyDescent="0.25">
      <c r="A19" s="3" t="s">
        <v>2</v>
      </c>
      <c r="B19" s="8">
        <v>1</v>
      </c>
      <c r="C19" s="8">
        <v>100</v>
      </c>
      <c r="D19" s="8">
        <v>500</v>
      </c>
      <c r="E19" s="8">
        <v>1000</v>
      </c>
    </row>
    <row r="20" spans="1:5" x14ac:dyDescent="0.25">
      <c r="A20" t="s">
        <v>42</v>
      </c>
      <c r="B20" s="7">
        <v>69.22</v>
      </c>
      <c r="C20" s="7">
        <v>62.849999999999994</v>
      </c>
      <c r="D20" s="7">
        <v>58.7</v>
      </c>
      <c r="E20" s="7">
        <v>54.900000000000006</v>
      </c>
    </row>
    <row r="21" spans="1:5" x14ac:dyDescent="0.25">
      <c r="A21" s="1" t="s">
        <v>43</v>
      </c>
      <c r="B21" s="7">
        <f>B20*1</f>
        <v>69.22</v>
      </c>
      <c r="C21" s="7">
        <f>C20*100</f>
        <v>6284.9999999999991</v>
      </c>
      <c r="D21" s="7">
        <f>D20*500</f>
        <v>29350</v>
      </c>
      <c r="E21" s="7">
        <f>E20*1000</f>
        <v>54900.000000000007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3E0C156CE1F4E92CB6AEBBD05F86A" ma:contentTypeVersion="5" ma:contentTypeDescription="Create a new document." ma:contentTypeScope="" ma:versionID="9344554dc12e2f9a16337ebd69038bdd">
  <xsd:schema xmlns:xsd="http://www.w3.org/2001/XMLSchema" xmlns:xs="http://www.w3.org/2001/XMLSchema" xmlns:p="http://schemas.microsoft.com/office/2006/metadata/properties" xmlns:ns2="aa1b7f46-24c2-402e-be29-b517ac9e194d" targetNamespace="http://schemas.microsoft.com/office/2006/metadata/properties" ma:root="true" ma:fieldsID="8fe71107b3c21d1e04b8c1f7d107958a" ns2:_="">
    <xsd:import namespace="aa1b7f46-24c2-402e-be29-b517ac9e1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b7f46-24c2-402e-be29-b517ac9e19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73F67E-95F1-4AB8-8C5E-55EEECE8CADC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aa1b7f46-24c2-402e-be29-b517ac9e194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42EB075-2A79-44B4-9815-9663DA192A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DDC92B-2D05-4633-9E51-B9A79BC45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b7f46-24c2-402e-be29-b517ac9e19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Development Costs</vt:lpstr>
      <vt:lpstr>Manufacturer Costs</vt:lpstr>
      <vt:lpstr>Cost Comparison (vs. Volume)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Adjei</dc:creator>
  <cp:keywords/>
  <dc:description/>
  <cp:lastModifiedBy>Isaac Adjei (Student)</cp:lastModifiedBy>
  <cp:revision/>
  <cp:lastPrinted>2025-12-04T14:06:46Z</cp:lastPrinted>
  <dcterms:created xsi:type="dcterms:W3CDTF">2025-03-26T23:24:23Z</dcterms:created>
  <dcterms:modified xsi:type="dcterms:W3CDTF">2025-12-04T14:07:37Z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0x010100A203E0C156CE1F4E92CB6AEBBD05F86A</vt:lpwstr>
  </property>
</Properties>
</file>